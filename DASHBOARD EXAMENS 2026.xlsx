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Données" sheetId="2" r:id="rId1"/>
    <sheet name="Dashboard" sheetId="3" r:id="rId2"/>
  </sheets>
  <calcPr calcId="152511"/>
</workbook>
</file>

<file path=xl/calcChain.xml><?xml version="1.0" encoding="utf-8"?>
<calcChain xmlns="http://schemas.openxmlformats.org/spreadsheetml/2006/main">
  <c r="C8" i="3" l="1"/>
  <c r="E25" i="2"/>
  <c r="D27" i="2" s="1"/>
  <c r="D25" i="2"/>
  <c r="G10" i="2"/>
  <c r="G6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B2" i="2"/>
  <c r="B3" i="2"/>
  <c r="G7" i="2"/>
  <c r="G8" i="2"/>
  <c r="G9" i="2"/>
  <c r="G11" i="2"/>
  <c r="G12" i="2"/>
  <c r="E7" i="2"/>
  <c r="E8" i="2"/>
  <c r="E9" i="2"/>
  <c r="E10" i="2"/>
  <c r="E11" i="2"/>
  <c r="E12" i="2"/>
  <c r="E6" i="2"/>
  <c r="C5" i="3" l="1"/>
  <c r="I6" i="2"/>
  <c r="C6" i="3"/>
  <c r="B11" i="3" s="1"/>
  <c r="F10" i="2"/>
  <c r="I10" i="2"/>
  <c r="F9" i="2"/>
  <c r="I9" i="2"/>
  <c r="F7" i="2"/>
  <c r="I7" i="2"/>
  <c r="F8" i="2"/>
  <c r="I8" i="2"/>
  <c r="F12" i="2"/>
  <c r="I12" i="2"/>
  <c r="F11" i="2"/>
  <c r="I11" i="2"/>
  <c r="F6" i="2"/>
  <c r="C16" i="3" s="1"/>
  <c r="C14" i="3" l="1"/>
  <c r="C15" i="3"/>
  <c r="C7" i="3"/>
</calcChain>
</file>

<file path=xl/sharedStrings.xml><?xml version="1.0" encoding="utf-8"?>
<sst xmlns="http://schemas.openxmlformats.org/spreadsheetml/2006/main" count="42" uniqueCount="37">
  <si>
    <t>Cours</t>
  </si>
  <si>
    <t>Date Examen</t>
  </si>
  <si>
    <t>Statut</t>
  </si>
  <si>
    <t>Niveau de Préparation(%)</t>
  </si>
  <si>
    <t>Révision</t>
  </si>
  <si>
    <t>Etude de Tableur(Ecrit)</t>
  </si>
  <si>
    <t>Ethique(Ecrit)</t>
  </si>
  <si>
    <t>Recherche Opérationnelle(Ecrit)</t>
  </si>
  <si>
    <t>M.A.I 2(Ecrit)</t>
  </si>
  <si>
    <t>Séminaire(T.P)</t>
  </si>
  <si>
    <t>Programmation 2(T.P PROJET)</t>
  </si>
  <si>
    <t>Technique de banque des données(Ecrit)</t>
  </si>
  <si>
    <t>Jours restants</t>
  </si>
  <si>
    <t>En cours</t>
  </si>
  <si>
    <t>Pas commencé</t>
  </si>
  <si>
    <t>EXAMENS 2026 SESSION DE FEVRIER</t>
  </si>
  <si>
    <t xml:space="preserve"> </t>
  </si>
  <si>
    <t>Date FUTURE</t>
  </si>
  <si>
    <t xml:space="preserve">Examens restants </t>
  </si>
  <si>
    <t xml:space="preserve">Jours Restants </t>
  </si>
  <si>
    <t>Prochain examen</t>
  </si>
  <si>
    <t>Moyenne Préparation (%)</t>
  </si>
  <si>
    <t>Alerte</t>
  </si>
  <si>
    <t>Proche</t>
  </si>
  <si>
    <t>Pour bientôt</t>
  </si>
  <si>
    <t>Passé</t>
  </si>
  <si>
    <t xml:space="preserve">DASHBOARD DE PADITH POUR LES EXAMENS 2026
</t>
  </si>
  <si>
    <t xml:space="preserve">AVEC DIEU JE SUIS VICTORIEUSE, JE VAIS REUSSIR ! </t>
  </si>
  <si>
    <t>Fait</t>
  </si>
  <si>
    <t>Estimation</t>
  </si>
  <si>
    <t>Etude de Tableur</t>
  </si>
  <si>
    <t>Point obtenu</t>
  </si>
  <si>
    <t>Maximum</t>
  </si>
  <si>
    <t>Ethique</t>
  </si>
  <si>
    <t>M.A.I 2</t>
  </si>
  <si>
    <t>Total</t>
  </si>
  <si>
    <t>Pourcentage - 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</si>
</sst>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lgerian"/>
      <family val="5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Bahnschrift Condensed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Lucida Fax"/>
      <family val="1"/>
    </font>
    <font>
      <sz val="11"/>
      <color theme="1"/>
      <name val="Lucida Fax"/>
      <family val="1"/>
    </font>
    <font>
      <b/>
      <sz val="11"/>
      <color theme="1"/>
      <name val="Arial"/>
      <family val="2"/>
    </font>
    <font>
      <b/>
      <sz val="11"/>
      <color rgb="FFC00000"/>
      <name val="Calibri"/>
      <family val="2"/>
      <scheme val="minor"/>
    </font>
    <font>
      <b/>
      <sz val="11"/>
      <color rgb="FFC00000"/>
      <name val="Arial Unicode MS"/>
      <family val="2"/>
    </font>
    <font>
      <sz val="11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14" fontId="0" fillId="0" borderId="0" xfId="0" applyNumberFormat="1"/>
    <xf numFmtId="0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0" fillId="5" borderId="0" xfId="0" applyFill="1"/>
    <xf numFmtId="0" fontId="0" fillId="7" borderId="0" xfId="0" applyNumberFormat="1" applyFill="1" applyAlignment="1">
      <alignment horizontal="center"/>
    </xf>
    <xf numFmtId="9" fontId="0" fillId="6" borderId="0" xfId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/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5" fillId="8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4" fontId="0" fillId="10" borderId="0" xfId="0" applyNumberFormat="1" applyFill="1"/>
    <xf numFmtId="22" fontId="0" fillId="10" borderId="0" xfId="0" applyNumberFormat="1" applyFill="1"/>
    <xf numFmtId="0" fontId="0" fillId="10" borderId="0" xfId="0" applyFill="1"/>
    <xf numFmtId="0" fontId="0" fillId="0" borderId="0" xfId="0" applyAlignment="1">
      <alignment horizontal="center" vertical="center"/>
    </xf>
    <xf numFmtId="0" fontId="2" fillId="12" borderId="0" xfId="0" applyFont="1" applyFill="1"/>
    <xf numFmtId="0" fontId="0" fillId="9" borderId="0" xfId="0" applyFont="1" applyFill="1"/>
    <xf numFmtId="0" fontId="2" fillId="11" borderId="0" xfId="0" applyFont="1" applyFill="1"/>
    <xf numFmtId="0" fontId="0" fillId="5" borderId="0" xfId="0" applyFill="1" applyAlignment="1">
      <alignment wrapText="1"/>
    </xf>
    <xf numFmtId="0" fontId="0" fillId="0" borderId="1" xfId="0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6" fillId="5" borderId="0" xfId="0" applyFont="1" applyFill="1" applyAlignment="1">
      <alignment horizont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9" fontId="0" fillId="15" borderId="1" xfId="0" applyNumberFormat="1" applyFill="1" applyBorder="1" applyAlignment="1">
      <alignment horizontal="center"/>
    </xf>
    <xf numFmtId="0" fontId="11" fillId="17" borderId="0" xfId="0" applyFont="1" applyFill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10" fillId="19" borderId="0" xfId="1" applyFont="1" applyFill="1" applyAlignment="1">
      <alignment horizontal="center"/>
    </xf>
    <xf numFmtId="0" fontId="13" fillId="5" borderId="0" xfId="0" applyFont="1" applyFill="1"/>
    <xf numFmtId="17" fontId="13" fillId="5" borderId="0" xfId="0" applyNumberFormat="1" applyFont="1" applyFill="1"/>
    <xf numFmtId="14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4" borderId="0" xfId="0" applyFont="1" applyFill="1" applyAlignment="1">
      <alignment horizontal="center"/>
    </xf>
    <xf numFmtId="0" fontId="15" fillId="18" borderId="0" xfId="0" applyFont="1" applyFill="1" applyAlignment="1">
      <alignment horizontal="center"/>
    </xf>
    <xf numFmtId="0" fontId="16" fillId="7" borderId="0" xfId="0" applyNumberFormat="1" applyFont="1" applyFill="1" applyAlignment="1">
      <alignment horizontal="center"/>
    </xf>
    <xf numFmtId="0" fontId="16" fillId="0" borderId="0" xfId="0" applyNumberFormat="1" applyFont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0" fillId="16" borderId="0" xfId="0" applyFill="1"/>
    <xf numFmtId="0" fontId="0" fillId="7" borderId="0" xfId="0" applyFill="1"/>
    <xf numFmtId="0" fontId="0" fillId="17" borderId="0" xfId="0" applyFill="1"/>
    <xf numFmtId="0" fontId="0" fillId="20" borderId="0" xfId="0" applyFill="1"/>
    <xf numFmtId="0" fontId="9" fillId="22" borderId="0" xfId="0" applyFont="1" applyFill="1" applyAlignment="1">
      <alignment horizontal="center"/>
    </xf>
    <xf numFmtId="0" fontId="10" fillId="21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3"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339966"/>
      <color rgb="FF14999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Réprésentation</a:t>
            </a:r>
            <a:r>
              <a:rPr lang="fr-FR" baseline="0"/>
              <a:t> Camembert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explosion val="14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0046020946410825"/>
                  <c:y val="3.805482648002330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6.8354518350696017E-2"/>
                  <c:y val="-4.786854768153980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7957227767366668"/>
                  <c:y val="5.281969962088069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Dashboard!$B$14:$B$16</c:f>
              <c:strCache>
                <c:ptCount val="3"/>
                <c:pt idx="0">
                  <c:v>Proche</c:v>
                </c:pt>
                <c:pt idx="1">
                  <c:v>Pour bientôt</c:v>
                </c:pt>
                <c:pt idx="2">
                  <c:v>Passé</c:v>
                </c:pt>
              </c:strCache>
            </c:strRef>
          </c:cat>
          <c:val>
            <c:numRef>
              <c:f>Dashboard!$C$14:$C$16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Histogramme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4999C"/>
            </a:solidFill>
            <a:ln>
              <a:noFill/>
            </a:ln>
            <a:effectLst/>
          </c:spPr>
          <c:invertIfNegative val="0"/>
          <c:cat>
            <c:strRef>
              <c:f>Données!$C$6:$C$12</c:f>
              <c:strCache>
                <c:ptCount val="7"/>
                <c:pt idx="0">
                  <c:v>Etude de Tableur(Ecrit)</c:v>
                </c:pt>
                <c:pt idx="1">
                  <c:v>Ethique(Ecrit)</c:v>
                </c:pt>
                <c:pt idx="2">
                  <c:v>Recherche Opérationnelle(Ecrit)</c:v>
                </c:pt>
                <c:pt idx="3">
                  <c:v>M.A.I 2(Ecrit)</c:v>
                </c:pt>
                <c:pt idx="4">
                  <c:v>Séminaire(T.P)</c:v>
                </c:pt>
                <c:pt idx="5">
                  <c:v>Programmation 2(T.P PROJET)</c:v>
                </c:pt>
                <c:pt idx="6">
                  <c:v>Technique de banque des données(Ecrit)</c:v>
                </c:pt>
              </c:strCache>
            </c:strRef>
          </c:cat>
          <c:val>
            <c:numRef>
              <c:f>Données!$G$6:$G$12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611936"/>
        <c:axId val="1128612480"/>
      </c:barChart>
      <c:catAx>
        <c:axId val="112861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8612480"/>
        <c:crosses val="autoZero"/>
        <c:auto val="1"/>
        <c:lblAlgn val="ctr"/>
        <c:lblOffset val="100"/>
        <c:noMultiLvlLbl val="0"/>
      </c:catAx>
      <c:valAx>
        <c:axId val="112861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8611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136525</xdr:colOff>
      <xdr:row>2</xdr:row>
      <xdr:rowOff>63500</xdr:rowOff>
    </xdr:from>
    <xdr:to>
      <xdr:col>7</xdr:col>
      <xdr:colOff>196850</xdr:colOff>
      <xdr:row>17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253999</xdr:colOff>
      <xdr:row>2</xdr:row>
      <xdr:rowOff>63500</xdr:rowOff>
    </xdr:from>
    <xdr:to>
      <xdr:col>13</xdr:col>
      <xdr:colOff>196850</xdr:colOff>
      <xdr:row>17</xdr:row>
      <xdr:rowOff>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0"/>
  <sheetViews>
    <sheetView tabSelected="1" topLeftCell="B12" workbookViewId="0">
      <selection activeCell="C33" sqref="C33"/>
    </sheetView>
  </sheetViews>
  <sheetFormatPr baseColWidth="10" defaultRowHeight="14.5" x14ac:dyDescent="0.35"/>
  <cols>
    <col min="2" max="2" width="15.453125" bestFit="1" customWidth="1"/>
    <col min="3" max="3" width="39.6328125" customWidth="1"/>
    <col min="4" max="4" width="16.81640625" customWidth="1"/>
    <col min="5" max="5" width="18.08984375" customWidth="1"/>
    <col min="6" max="6" width="14.7265625" customWidth="1"/>
    <col min="7" max="7" width="28.81640625" customWidth="1"/>
    <col min="8" max="8" width="16" customWidth="1"/>
    <col min="9" max="9" width="14.81640625" customWidth="1"/>
  </cols>
  <sheetData>
    <row r="2" spans="2:9" ht="24" customHeight="1" x14ac:dyDescent="0.35">
      <c r="B2" s="13">
        <f ca="1">TODAY()</f>
        <v>46067</v>
      </c>
      <c r="D2" s="32" t="s">
        <v>15</v>
      </c>
      <c r="E2" s="33"/>
      <c r="F2" s="33"/>
    </row>
    <row r="3" spans="2:9" ht="25" customHeight="1" x14ac:dyDescent="0.35">
      <c r="B3" s="14">
        <f ca="1">NOW()</f>
        <v>46067.326771064814</v>
      </c>
      <c r="D3" s="33"/>
      <c r="E3" s="33"/>
      <c r="F3" s="33"/>
    </row>
    <row r="4" spans="2:9" x14ac:dyDescent="0.35">
      <c r="B4" s="15"/>
    </row>
    <row r="5" spans="2:9" ht="21" customHeight="1" x14ac:dyDescent="0.4">
      <c r="C5" s="7" t="s">
        <v>0</v>
      </c>
      <c r="D5" s="7" t="s">
        <v>1</v>
      </c>
      <c r="E5" s="7" t="s">
        <v>12</v>
      </c>
      <c r="F5" s="7" t="s">
        <v>2</v>
      </c>
      <c r="G5" s="7" t="s">
        <v>3</v>
      </c>
      <c r="H5" s="7" t="s">
        <v>4</v>
      </c>
      <c r="I5" s="7" t="s">
        <v>17</v>
      </c>
    </row>
    <row r="6" spans="2:9" ht="20" customHeight="1" x14ac:dyDescent="0.45">
      <c r="C6" s="36" t="s">
        <v>5</v>
      </c>
      <c r="D6" s="9">
        <v>46064</v>
      </c>
      <c r="E6" s="42">
        <f ca="1">MAX(0,D6-TODAY())</f>
        <v>0</v>
      </c>
      <c r="F6" s="41" t="str">
        <f ca="1">IF(E6&lt;=0,"Passé",IF(E6&lt;=3,"URGENT",IF(E6&lt;=7,"Proche","Pour Bientot")))</f>
        <v>Passé</v>
      </c>
      <c r="G6" s="6">
        <f>IF(H6="Pas commencé",0,
 IF(H6="En cours",0.5,
 IF(H6="Fait",1)))</f>
        <v>1</v>
      </c>
      <c r="H6" s="39" t="s">
        <v>28</v>
      </c>
      <c r="I6" s="38" t="str">
        <f ca="1">IF(E6&gt;0,D6,"Passé")</f>
        <v>Passé</v>
      </c>
    </row>
    <row r="7" spans="2:9" ht="20" customHeight="1" x14ac:dyDescent="0.45">
      <c r="C7" s="36" t="s">
        <v>6</v>
      </c>
      <c r="D7" s="9">
        <v>46066</v>
      </c>
      <c r="E7" s="43">
        <f t="shared" ref="E7:E12" ca="1" si="0">MAX(0,D7-TODAY())</f>
        <v>0</v>
      </c>
      <c r="F7" s="41" t="str">
        <f t="shared" ref="F7:F12" ca="1" si="1">IF(E7&lt;=0,"Passé",IF(E7&lt;=3,"URGENT",IF(E7&lt;=7,"Proche","Pour Bientot")))</f>
        <v>Passé</v>
      </c>
      <c r="G7" s="3">
        <f t="shared" ref="G7:G12" si="2">IF(H7="Pas commencé",0,
 IF(H7="En cours",0.5,
 IF(H7="Fait",1)))</f>
        <v>1</v>
      </c>
      <c r="H7" s="40" t="s">
        <v>28</v>
      </c>
      <c r="I7" s="38" t="str">
        <f t="shared" ref="I7:I12" ca="1" si="3">IF(E7&gt;0,D7,"Passé")</f>
        <v>Passé</v>
      </c>
    </row>
    <row r="8" spans="2:9" ht="20" customHeight="1" x14ac:dyDescent="0.45">
      <c r="C8" s="36" t="s">
        <v>7</v>
      </c>
      <c r="D8" s="9">
        <v>46077</v>
      </c>
      <c r="E8" s="5">
        <f t="shared" ca="1" si="0"/>
        <v>10</v>
      </c>
      <c r="F8" s="10" t="str">
        <f t="shared" ca="1" si="1"/>
        <v>Pour Bientot</v>
      </c>
      <c r="G8" s="6">
        <f t="shared" si="2"/>
        <v>0.5</v>
      </c>
      <c r="H8" s="10" t="s">
        <v>13</v>
      </c>
      <c r="I8" s="34">
        <f t="shared" ca="1" si="3"/>
        <v>46077</v>
      </c>
    </row>
    <row r="9" spans="2:9" ht="20" customHeight="1" x14ac:dyDescent="0.45">
      <c r="B9" t="s">
        <v>16</v>
      </c>
      <c r="C9" s="37" t="s">
        <v>8</v>
      </c>
      <c r="D9" s="9">
        <v>46071</v>
      </c>
      <c r="E9" s="2">
        <f t="shared" ca="1" si="0"/>
        <v>4</v>
      </c>
      <c r="F9" s="11" t="str">
        <f t="shared" ca="1" si="1"/>
        <v>Proche</v>
      </c>
      <c r="G9" s="3">
        <f t="shared" si="2"/>
        <v>0.5</v>
      </c>
      <c r="H9" s="12" t="s">
        <v>13</v>
      </c>
      <c r="I9" s="34">
        <f t="shared" ca="1" si="3"/>
        <v>46071</v>
      </c>
    </row>
    <row r="10" spans="2:9" ht="20.5" customHeight="1" x14ac:dyDescent="0.45">
      <c r="C10" s="36" t="s">
        <v>9</v>
      </c>
      <c r="D10" s="9">
        <v>46072</v>
      </c>
      <c r="E10" s="5">
        <f t="shared" ca="1" si="0"/>
        <v>5</v>
      </c>
      <c r="F10" s="10" t="str">
        <f t="shared" ca="1" si="1"/>
        <v>Proche</v>
      </c>
      <c r="G10" s="6">
        <f>IF(H10="Pas commencé",0,
 IF(H10="En cours",0.5,
 IF(H10="Fait",1)))</f>
        <v>1</v>
      </c>
      <c r="H10" s="10" t="s">
        <v>28</v>
      </c>
      <c r="I10" s="34">
        <f t="shared" ca="1" si="3"/>
        <v>46072</v>
      </c>
    </row>
    <row r="11" spans="2:9" ht="20.5" customHeight="1" x14ac:dyDescent="0.45">
      <c r="C11" s="36" t="s">
        <v>10</v>
      </c>
      <c r="D11" s="9">
        <v>46073</v>
      </c>
      <c r="E11" s="2">
        <f t="shared" ca="1" si="0"/>
        <v>6</v>
      </c>
      <c r="F11" s="11" t="str">
        <f t="shared" ca="1" si="1"/>
        <v>Proche</v>
      </c>
      <c r="G11" s="3">
        <f t="shared" si="2"/>
        <v>1</v>
      </c>
      <c r="H11" s="12" t="s">
        <v>28</v>
      </c>
      <c r="I11" s="34">
        <f t="shared" ca="1" si="3"/>
        <v>46073</v>
      </c>
    </row>
    <row r="12" spans="2:9" ht="20" customHeight="1" x14ac:dyDescent="0.45">
      <c r="C12" s="36" t="s">
        <v>11</v>
      </c>
      <c r="D12" s="9">
        <v>46076</v>
      </c>
      <c r="E12" s="5">
        <f t="shared" ca="1" si="0"/>
        <v>9</v>
      </c>
      <c r="F12" s="10" t="str">
        <f t="shared" ca="1" si="1"/>
        <v>Pour Bientot</v>
      </c>
      <c r="G12" s="6">
        <f t="shared" si="2"/>
        <v>0</v>
      </c>
      <c r="H12" s="10" t="s">
        <v>14</v>
      </c>
      <c r="I12" s="34">
        <f t="shared" ca="1" si="3"/>
        <v>46076</v>
      </c>
    </row>
    <row r="13" spans="2:9" x14ac:dyDescent="0.35">
      <c r="C13" s="8"/>
      <c r="I13" s="1" t="str">
        <f t="shared" ref="I7:I70" si="4">IF(E13&gt;0,D13,"")</f>
        <v/>
      </c>
    </row>
    <row r="14" spans="2:9" x14ac:dyDescent="0.35">
      <c r="I14" s="1" t="str">
        <f t="shared" si="4"/>
        <v/>
      </c>
    </row>
    <row r="15" spans="2:9" x14ac:dyDescent="0.35">
      <c r="I15" s="1" t="str">
        <f t="shared" si="4"/>
        <v/>
      </c>
    </row>
    <row r="16" spans="2:9" x14ac:dyDescent="0.35">
      <c r="C16" s="44" t="s">
        <v>29</v>
      </c>
      <c r="D16" s="44"/>
      <c r="E16" s="44"/>
      <c r="F16" s="44"/>
      <c r="G16" s="44"/>
      <c r="I16" s="1" t="str">
        <f t="shared" si="4"/>
        <v/>
      </c>
    </row>
    <row r="17" spans="3:9" x14ac:dyDescent="0.35">
      <c r="C17" s="46" t="s">
        <v>0</v>
      </c>
      <c r="D17" s="47" t="s">
        <v>31</v>
      </c>
      <c r="E17" s="45" t="s">
        <v>32</v>
      </c>
      <c r="I17" s="1" t="str">
        <f t="shared" si="4"/>
        <v>Point obtenu</v>
      </c>
    </row>
    <row r="18" spans="3:9" x14ac:dyDescent="0.35">
      <c r="C18" s="48" t="s">
        <v>30</v>
      </c>
      <c r="D18">
        <v>33</v>
      </c>
      <c r="E18">
        <v>40</v>
      </c>
      <c r="I18" s="1">
        <f t="shared" si="4"/>
        <v>33</v>
      </c>
    </row>
    <row r="19" spans="3:9" x14ac:dyDescent="0.35">
      <c r="C19" s="48" t="s">
        <v>33</v>
      </c>
      <c r="D19">
        <v>14</v>
      </c>
      <c r="E19">
        <v>20</v>
      </c>
      <c r="I19" s="1">
        <f t="shared" si="4"/>
        <v>14</v>
      </c>
    </row>
    <row r="20" spans="3:9" x14ac:dyDescent="0.35">
      <c r="C20" s="48" t="s">
        <v>34</v>
      </c>
      <c r="I20" s="1" t="str">
        <f t="shared" si="4"/>
        <v/>
      </c>
    </row>
    <row r="21" spans="3:9" x14ac:dyDescent="0.35">
      <c r="C21" s="48"/>
      <c r="I21" s="1" t="str">
        <f t="shared" si="4"/>
        <v/>
      </c>
    </row>
    <row r="22" spans="3:9" x14ac:dyDescent="0.35">
      <c r="C22" s="48"/>
      <c r="I22" s="1" t="str">
        <f t="shared" si="4"/>
        <v/>
      </c>
    </row>
    <row r="23" spans="3:9" x14ac:dyDescent="0.35">
      <c r="C23" s="48"/>
      <c r="I23" s="1" t="str">
        <f t="shared" si="4"/>
        <v/>
      </c>
    </row>
    <row r="24" spans="3:9" x14ac:dyDescent="0.35">
      <c r="C24" s="48"/>
      <c r="I24" s="1" t="str">
        <f t="shared" si="4"/>
        <v/>
      </c>
    </row>
    <row r="25" spans="3:9" x14ac:dyDescent="0.35">
      <c r="C25" s="49" t="s">
        <v>35</v>
      </c>
      <c r="D25" s="51">
        <f>SUM(D18:D24)</f>
        <v>47</v>
      </c>
      <c r="E25" s="50">
        <f>SUM(E18:E24)</f>
        <v>60</v>
      </c>
      <c r="I25" s="1">
        <f t="shared" si="4"/>
        <v>47</v>
      </c>
    </row>
    <row r="26" spans="3:9" x14ac:dyDescent="0.35">
      <c r="I26" s="1" t="str">
        <f t="shared" si="4"/>
        <v/>
      </c>
    </row>
    <row r="27" spans="3:9" x14ac:dyDescent="0.35">
      <c r="C27" t="s">
        <v>36</v>
      </c>
      <c r="D27" s="35">
        <f>D25/E25</f>
        <v>0.78333333333333333</v>
      </c>
      <c r="E27" s="35"/>
      <c r="I27" s="1" t="str">
        <f t="shared" si="4"/>
        <v/>
      </c>
    </row>
    <row r="28" spans="3:9" x14ac:dyDescent="0.35">
      <c r="I28" s="1" t="str">
        <f t="shared" si="4"/>
        <v/>
      </c>
    </row>
    <row r="29" spans="3:9" x14ac:dyDescent="0.35">
      <c r="I29" s="1" t="str">
        <f t="shared" si="4"/>
        <v/>
      </c>
    </row>
    <row r="30" spans="3:9" x14ac:dyDescent="0.35">
      <c r="I30" s="1" t="str">
        <f t="shared" si="4"/>
        <v/>
      </c>
    </row>
    <row r="31" spans="3:9" x14ac:dyDescent="0.35">
      <c r="I31" s="1" t="str">
        <f t="shared" si="4"/>
        <v/>
      </c>
    </row>
    <row r="32" spans="3:9" x14ac:dyDescent="0.35">
      <c r="I32" s="1" t="str">
        <f t="shared" si="4"/>
        <v/>
      </c>
    </row>
    <row r="33" spans="9:9" x14ac:dyDescent="0.35">
      <c r="I33" s="1" t="str">
        <f t="shared" si="4"/>
        <v/>
      </c>
    </row>
    <row r="34" spans="9:9" x14ac:dyDescent="0.35">
      <c r="I34" s="1" t="str">
        <f t="shared" si="4"/>
        <v/>
      </c>
    </row>
    <row r="35" spans="9:9" x14ac:dyDescent="0.35">
      <c r="I35" s="1" t="str">
        <f t="shared" si="4"/>
        <v/>
      </c>
    </row>
    <row r="36" spans="9:9" x14ac:dyDescent="0.35">
      <c r="I36" s="1" t="str">
        <f t="shared" si="4"/>
        <v/>
      </c>
    </row>
    <row r="37" spans="9:9" x14ac:dyDescent="0.35">
      <c r="I37" s="1" t="str">
        <f t="shared" si="4"/>
        <v/>
      </c>
    </row>
    <row r="38" spans="9:9" x14ac:dyDescent="0.35">
      <c r="I38" s="1" t="str">
        <f t="shared" si="4"/>
        <v/>
      </c>
    </row>
    <row r="39" spans="9:9" x14ac:dyDescent="0.35">
      <c r="I39" s="1" t="str">
        <f t="shared" si="4"/>
        <v/>
      </c>
    </row>
    <row r="40" spans="9:9" x14ac:dyDescent="0.35">
      <c r="I40" s="1" t="str">
        <f t="shared" si="4"/>
        <v/>
      </c>
    </row>
    <row r="41" spans="9:9" x14ac:dyDescent="0.35">
      <c r="I41" s="1" t="str">
        <f t="shared" si="4"/>
        <v/>
      </c>
    </row>
    <row r="42" spans="9:9" x14ac:dyDescent="0.35">
      <c r="I42" s="1" t="str">
        <f t="shared" si="4"/>
        <v/>
      </c>
    </row>
    <row r="43" spans="9:9" x14ac:dyDescent="0.35">
      <c r="I43" s="1" t="str">
        <f t="shared" si="4"/>
        <v/>
      </c>
    </row>
    <row r="44" spans="9:9" x14ac:dyDescent="0.35">
      <c r="I44" s="1" t="str">
        <f t="shared" si="4"/>
        <v/>
      </c>
    </row>
    <row r="45" spans="9:9" x14ac:dyDescent="0.35">
      <c r="I45" s="1" t="str">
        <f t="shared" si="4"/>
        <v/>
      </c>
    </row>
    <row r="46" spans="9:9" x14ac:dyDescent="0.35">
      <c r="I46" s="1" t="str">
        <f t="shared" si="4"/>
        <v/>
      </c>
    </row>
    <row r="47" spans="9:9" x14ac:dyDescent="0.35">
      <c r="I47" s="1" t="str">
        <f t="shared" si="4"/>
        <v/>
      </c>
    </row>
    <row r="48" spans="9:9" x14ac:dyDescent="0.35">
      <c r="I48" s="1" t="str">
        <f t="shared" si="4"/>
        <v/>
      </c>
    </row>
    <row r="49" spans="9:9" x14ac:dyDescent="0.35">
      <c r="I49" s="1" t="str">
        <f t="shared" si="4"/>
        <v/>
      </c>
    </row>
    <row r="50" spans="9:9" x14ac:dyDescent="0.35">
      <c r="I50" s="1" t="str">
        <f t="shared" si="4"/>
        <v/>
      </c>
    </row>
    <row r="51" spans="9:9" x14ac:dyDescent="0.35">
      <c r="I51" s="1" t="str">
        <f t="shared" si="4"/>
        <v/>
      </c>
    </row>
    <row r="52" spans="9:9" x14ac:dyDescent="0.35">
      <c r="I52" s="1" t="str">
        <f t="shared" si="4"/>
        <v/>
      </c>
    </row>
    <row r="53" spans="9:9" x14ac:dyDescent="0.35">
      <c r="I53" s="1" t="str">
        <f t="shared" si="4"/>
        <v/>
      </c>
    </row>
    <row r="54" spans="9:9" x14ac:dyDescent="0.35">
      <c r="I54" s="1" t="str">
        <f t="shared" si="4"/>
        <v/>
      </c>
    </row>
    <row r="55" spans="9:9" x14ac:dyDescent="0.35">
      <c r="I55" s="1" t="str">
        <f t="shared" si="4"/>
        <v/>
      </c>
    </row>
    <row r="56" spans="9:9" x14ac:dyDescent="0.35">
      <c r="I56" s="1" t="str">
        <f t="shared" si="4"/>
        <v/>
      </c>
    </row>
    <row r="57" spans="9:9" x14ac:dyDescent="0.35">
      <c r="I57" s="1" t="str">
        <f t="shared" si="4"/>
        <v/>
      </c>
    </row>
    <row r="58" spans="9:9" x14ac:dyDescent="0.35">
      <c r="I58" s="1" t="str">
        <f t="shared" si="4"/>
        <v/>
      </c>
    </row>
    <row r="59" spans="9:9" x14ac:dyDescent="0.35">
      <c r="I59" s="1" t="str">
        <f t="shared" si="4"/>
        <v/>
      </c>
    </row>
    <row r="60" spans="9:9" x14ac:dyDescent="0.35">
      <c r="I60" s="1" t="str">
        <f t="shared" si="4"/>
        <v/>
      </c>
    </row>
    <row r="61" spans="9:9" x14ac:dyDescent="0.35">
      <c r="I61" s="1" t="str">
        <f t="shared" si="4"/>
        <v/>
      </c>
    </row>
    <row r="62" spans="9:9" x14ac:dyDescent="0.35">
      <c r="I62" s="1" t="str">
        <f t="shared" si="4"/>
        <v/>
      </c>
    </row>
    <row r="63" spans="9:9" x14ac:dyDescent="0.35">
      <c r="I63" s="1" t="str">
        <f t="shared" si="4"/>
        <v/>
      </c>
    </row>
    <row r="64" spans="9:9" x14ac:dyDescent="0.35">
      <c r="I64" s="1" t="str">
        <f t="shared" si="4"/>
        <v/>
      </c>
    </row>
    <row r="65" spans="9:9" x14ac:dyDescent="0.35">
      <c r="I65" s="1" t="str">
        <f t="shared" si="4"/>
        <v/>
      </c>
    </row>
    <row r="66" spans="9:9" x14ac:dyDescent="0.35">
      <c r="I66" s="1" t="str">
        <f t="shared" si="4"/>
        <v/>
      </c>
    </row>
    <row r="67" spans="9:9" x14ac:dyDescent="0.35">
      <c r="I67" s="1" t="str">
        <f t="shared" si="4"/>
        <v/>
      </c>
    </row>
    <row r="68" spans="9:9" x14ac:dyDescent="0.35">
      <c r="I68" s="1" t="str">
        <f t="shared" si="4"/>
        <v/>
      </c>
    </row>
    <row r="69" spans="9:9" x14ac:dyDescent="0.35">
      <c r="I69" s="1" t="str">
        <f t="shared" si="4"/>
        <v/>
      </c>
    </row>
    <row r="70" spans="9:9" x14ac:dyDescent="0.35">
      <c r="I70" s="1" t="str">
        <f t="shared" si="4"/>
        <v/>
      </c>
    </row>
    <row r="71" spans="9:9" x14ac:dyDescent="0.35">
      <c r="I71" s="1" t="str">
        <f t="shared" ref="I71:I100" si="5">IF(E71&gt;0,D71,"")</f>
        <v/>
      </c>
    </row>
    <row r="72" spans="9:9" x14ac:dyDescent="0.35">
      <c r="I72" s="1" t="str">
        <f t="shared" si="5"/>
        <v/>
      </c>
    </row>
    <row r="73" spans="9:9" x14ac:dyDescent="0.35">
      <c r="I73" s="1" t="str">
        <f t="shared" si="5"/>
        <v/>
      </c>
    </row>
    <row r="74" spans="9:9" x14ac:dyDescent="0.35">
      <c r="I74" s="1" t="str">
        <f t="shared" si="5"/>
        <v/>
      </c>
    </row>
    <row r="75" spans="9:9" x14ac:dyDescent="0.35">
      <c r="I75" s="1" t="str">
        <f t="shared" si="5"/>
        <v/>
      </c>
    </row>
    <row r="76" spans="9:9" x14ac:dyDescent="0.35">
      <c r="I76" s="1" t="str">
        <f t="shared" si="5"/>
        <v/>
      </c>
    </row>
    <row r="77" spans="9:9" x14ac:dyDescent="0.35">
      <c r="I77" s="1" t="str">
        <f t="shared" si="5"/>
        <v/>
      </c>
    </row>
    <row r="78" spans="9:9" x14ac:dyDescent="0.35">
      <c r="I78" s="1" t="str">
        <f t="shared" si="5"/>
        <v/>
      </c>
    </row>
    <row r="79" spans="9:9" x14ac:dyDescent="0.35">
      <c r="I79" s="1" t="str">
        <f t="shared" si="5"/>
        <v/>
      </c>
    </row>
    <row r="80" spans="9:9" x14ac:dyDescent="0.35">
      <c r="I80" s="1" t="str">
        <f t="shared" si="5"/>
        <v/>
      </c>
    </row>
    <row r="81" spans="9:9" x14ac:dyDescent="0.35">
      <c r="I81" s="1" t="str">
        <f t="shared" si="5"/>
        <v/>
      </c>
    </row>
    <row r="82" spans="9:9" x14ac:dyDescent="0.35">
      <c r="I82" s="1" t="str">
        <f t="shared" si="5"/>
        <v/>
      </c>
    </row>
    <row r="83" spans="9:9" x14ac:dyDescent="0.35">
      <c r="I83" s="1" t="str">
        <f t="shared" si="5"/>
        <v/>
      </c>
    </row>
    <row r="84" spans="9:9" x14ac:dyDescent="0.35">
      <c r="I84" s="1" t="str">
        <f t="shared" si="5"/>
        <v/>
      </c>
    </row>
    <row r="85" spans="9:9" x14ac:dyDescent="0.35">
      <c r="I85" s="1" t="str">
        <f t="shared" si="5"/>
        <v/>
      </c>
    </row>
    <row r="86" spans="9:9" x14ac:dyDescent="0.35">
      <c r="I86" s="1" t="str">
        <f t="shared" si="5"/>
        <v/>
      </c>
    </row>
    <row r="87" spans="9:9" x14ac:dyDescent="0.35">
      <c r="I87" s="1" t="str">
        <f t="shared" si="5"/>
        <v/>
      </c>
    </row>
    <row r="88" spans="9:9" x14ac:dyDescent="0.35">
      <c r="I88" s="1" t="str">
        <f t="shared" si="5"/>
        <v/>
      </c>
    </row>
    <row r="89" spans="9:9" x14ac:dyDescent="0.35">
      <c r="I89" s="1" t="str">
        <f t="shared" si="5"/>
        <v/>
      </c>
    </row>
    <row r="90" spans="9:9" x14ac:dyDescent="0.35">
      <c r="I90" s="1" t="str">
        <f t="shared" si="5"/>
        <v/>
      </c>
    </row>
    <row r="91" spans="9:9" x14ac:dyDescent="0.35">
      <c r="I91" s="1" t="str">
        <f t="shared" si="5"/>
        <v/>
      </c>
    </row>
    <row r="92" spans="9:9" x14ac:dyDescent="0.35">
      <c r="I92" s="1" t="str">
        <f t="shared" si="5"/>
        <v/>
      </c>
    </row>
    <row r="93" spans="9:9" x14ac:dyDescent="0.35">
      <c r="I93" s="1" t="str">
        <f t="shared" si="5"/>
        <v/>
      </c>
    </row>
    <row r="94" spans="9:9" x14ac:dyDescent="0.35">
      <c r="I94" s="1" t="str">
        <f t="shared" si="5"/>
        <v/>
      </c>
    </row>
    <row r="95" spans="9:9" x14ac:dyDescent="0.35">
      <c r="I95" s="1" t="str">
        <f t="shared" si="5"/>
        <v/>
      </c>
    </row>
    <row r="96" spans="9:9" x14ac:dyDescent="0.35">
      <c r="I96" s="1" t="str">
        <f t="shared" si="5"/>
        <v/>
      </c>
    </row>
    <row r="97" spans="9:9" x14ac:dyDescent="0.35">
      <c r="I97" s="1" t="str">
        <f t="shared" si="5"/>
        <v/>
      </c>
    </row>
    <row r="98" spans="9:9" x14ac:dyDescent="0.35">
      <c r="I98" s="1" t="str">
        <f t="shared" si="5"/>
        <v/>
      </c>
    </row>
    <row r="99" spans="9:9" x14ac:dyDescent="0.35">
      <c r="I99" s="1" t="str">
        <f t="shared" si="5"/>
        <v/>
      </c>
    </row>
    <row r="100" spans="9:9" x14ac:dyDescent="0.35">
      <c r="I100" s="1" t="str">
        <f t="shared" si="5"/>
        <v/>
      </c>
    </row>
  </sheetData>
  <mergeCells count="3">
    <mergeCell ref="D2:F3"/>
    <mergeCell ref="C16:G16"/>
    <mergeCell ref="D27:E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6"/>
  <sheetViews>
    <sheetView showGridLines="0" workbookViewId="0">
      <selection activeCell="F17" sqref="F17"/>
    </sheetView>
  </sheetViews>
  <sheetFormatPr baseColWidth="10" defaultRowHeight="14.5" x14ac:dyDescent="0.35"/>
  <cols>
    <col min="2" max="2" width="37" customWidth="1"/>
    <col min="3" max="3" width="12" customWidth="1"/>
  </cols>
  <sheetData>
    <row r="1" spans="2:12" ht="15" thickBot="1" x14ac:dyDescent="0.4"/>
    <row r="2" spans="2:12" ht="58" customHeight="1" thickBot="1" x14ac:dyDescent="0.6">
      <c r="B2" s="24" t="s">
        <v>26</v>
      </c>
      <c r="C2" s="24"/>
      <c r="D2" s="24"/>
      <c r="E2" s="24"/>
      <c r="F2" s="24"/>
      <c r="H2" s="25" t="s">
        <v>27</v>
      </c>
      <c r="I2" s="26"/>
      <c r="J2" s="26"/>
      <c r="K2" s="26"/>
      <c r="L2" s="27"/>
    </row>
    <row r="4" spans="2:12" ht="15.5" customHeight="1" thickBot="1" x14ac:dyDescent="0.4"/>
    <row r="5" spans="2:12" ht="16" customHeight="1" thickBot="1" x14ac:dyDescent="0.4">
      <c r="B5" s="20" t="s">
        <v>18</v>
      </c>
      <c r="C5" s="29">
        <f ca="1">COUNTIF(Données!E6:E12,"&gt;0")</f>
        <v>5</v>
      </c>
    </row>
    <row r="6" spans="2:12" ht="15" thickBot="1" x14ac:dyDescent="0.4">
      <c r="B6" t="s">
        <v>19</v>
      </c>
      <c r="C6" s="28">
        <f ca="1">MIN(Données!E6:E12)</f>
        <v>0</v>
      </c>
    </row>
    <row r="7" spans="2:12" ht="15" thickBot="1" x14ac:dyDescent="0.4">
      <c r="B7" s="4" t="s">
        <v>20</v>
      </c>
      <c r="C7" s="30">
        <f ca="1">MIN(Données!I6:I12)</f>
        <v>46071</v>
      </c>
    </row>
    <row r="8" spans="2:12" ht="15" thickBot="1" x14ac:dyDescent="0.4">
      <c r="B8" t="s">
        <v>21</v>
      </c>
      <c r="C8" s="31">
        <f>AVERAGE(Données!G6:G12)</f>
        <v>0.7142857142857143</v>
      </c>
    </row>
    <row r="9" spans="2:12" ht="15" thickBot="1" x14ac:dyDescent="0.4">
      <c r="D9" s="16"/>
    </row>
    <row r="10" spans="2:12" ht="15.5" customHeight="1" thickBot="1" x14ac:dyDescent="0.4">
      <c r="B10" s="22" t="s">
        <v>22</v>
      </c>
    </row>
    <row r="11" spans="2:12" ht="32" customHeight="1" thickBot="1" x14ac:dyDescent="0.4">
      <c r="B11" s="23" t="str">
        <f ca="1">"Il reste "&amp;C6&amp;" jours avant ton prochain examen"</f>
        <v>Il reste 0 jours avant ton prochain examen</v>
      </c>
    </row>
    <row r="13" spans="2:12" ht="15" thickBot="1" x14ac:dyDescent="0.4"/>
    <row r="14" spans="2:12" ht="15" thickBot="1" x14ac:dyDescent="0.4">
      <c r="B14" s="17" t="s">
        <v>23</v>
      </c>
      <c r="C14" s="21">
        <f ca="1">COUNTIF(Données!F6:F12,"Proche")</f>
        <v>3</v>
      </c>
    </row>
    <row r="15" spans="2:12" ht="15" thickBot="1" x14ac:dyDescent="0.4">
      <c r="B15" s="18" t="s">
        <v>24</v>
      </c>
      <c r="C15" s="21">
        <f ca="1">COUNTIF(Données!F6:F12,"Pour Bientot")</f>
        <v>2</v>
      </c>
    </row>
    <row r="16" spans="2:12" ht="15" thickBot="1" x14ac:dyDescent="0.4">
      <c r="B16" s="19" t="s">
        <v>25</v>
      </c>
      <c r="C16" s="21">
        <f ca="1">COUNTIF(Données!F6:F12,"Passé")</f>
        <v>2</v>
      </c>
    </row>
  </sheetData>
  <mergeCells count="2">
    <mergeCell ref="B2:F2"/>
    <mergeCell ref="H2:L2"/>
  </mergeCells>
  <conditionalFormatting sqref="B11">
    <cfRule type="expression" dxfId="2" priority="3">
      <formula>$C$6&lt;=3</formula>
    </cfRule>
    <cfRule type="expression" dxfId="1" priority="2">
      <formula>$C$6&lt;=7</formula>
    </cfRule>
    <cfRule type="expression" dxfId="0" priority="1">
      <formula>"$C$6&gt;7"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2026-02-14T06:55:54Z</dcterms:modified>
</cp:coreProperties>
</file>